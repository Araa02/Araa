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4B1012E-5672-4CBE-851B-97F4898D5913}" xr6:coauthVersionLast="36" xr6:coauthVersionMax="36" xr10:uidLastSave="{00000000-0000-0000-0000-000000000000}"/>
  <bookViews>
    <workbookView xWindow="0" yWindow="0" windowWidth="20490" windowHeight="7545" firstSheet="3" activeTab="8" xr2:uid="{894C3ADF-C6CB-42D4-A684-68E1BF793CA1}"/>
  </bookViews>
  <sheets>
    <sheet name="ARITMATIKA" sheetId="1" r:id="rId1"/>
    <sheet name="VLOOKUP" sheetId="2" r:id="rId2"/>
    <sheet name="VLOOKUP BEDA SHEET" sheetId="3" r:id="rId3"/>
    <sheet name="TABEL BANTU" sheetId="4" r:id="rId4"/>
    <sheet name="HLOOKUP" sheetId="5" r:id="rId5"/>
    <sheet name="HLOOKUP BEDA SHEET" sheetId="6" r:id="rId6"/>
    <sheet name="TABEL BANTUHLO" sheetId="7" r:id="rId7"/>
    <sheet name="IF" sheetId="8" r:id="rId8"/>
    <sheet name="IFLevel" sheetId="9" r:id="rId9"/>
  </sheets>
  <definedNames>
    <definedName name="Bantu">'TABEL BANTU'!$B$3:$E$7</definedName>
    <definedName name="Kode">'TABEL BANTUHLO'!$B$3:$F$6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9" l="1"/>
  <c r="D6" i="9"/>
  <c r="D7" i="9"/>
  <c r="D8" i="9"/>
  <c r="D9" i="9"/>
  <c r="D10" i="9"/>
  <c r="D11" i="9"/>
  <c r="D12" i="9"/>
  <c r="D13" i="9"/>
  <c r="D4" i="9"/>
  <c r="L5" i="8"/>
  <c r="L6" i="8"/>
  <c r="L7" i="8"/>
  <c r="L8" i="8"/>
  <c r="L9" i="8"/>
  <c r="L10" i="8"/>
  <c r="L11" i="8"/>
  <c r="L12" i="8"/>
  <c r="L13" i="8"/>
  <c r="L4" i="8"/>
  <c r="D5" i="8"/>
  <c r="D6" i="8"/>
  <c r="D7" i="8"/>
  <c r="D8" i="8"/>
  <c r="D9" i="8"/>
  <c r="D10" i="8"/>
  <c r="D11" i="8"/>
  <c r="D12" i="8"/>
  <c r="D13" i="8"/>
  <c r="D4" i="8"/>
  <c r="E4" i="6"/>
  <c r="E5" i="6"/>
  <c r="E6" i="6"/>
  <c r="E7" i="6"/>
  <c r="E8" i="6"/>
  <c r="E9" i="6"/>
  <c r="E10" i="6"/>
  <c r="E11" i="6"/>
  <c r="E12" i="6"/>
  <c r="E3" i="6"/>
  <c r="D4" i="6"/>
  <c r="D5" i="6"/>
  <c r="D6" i="6"/>
  <c r="D7" i="6"/>
  <c r="D8" i="6"/>
  <c r="D9" i="6"/>
  <c r="D10" i="6"/>
  <c r="D11" i="6"/>
  <c r="D12" i="6"/>
  <c r="D3" i="6"/>
  <c r="C4" i="6"/>
  <c r="C5" i="6"/>
  <c r="C6" i="6"/>
  <c r="C7" i="6"/>
  <c r="C8" i="6"/>
  <c r="C9" i="6"/>
  <c r="C10" i="6"/>
  <c r="C11" i="6"/>
  <c r="C12" i="6"/>
  <c r="C3" i="6"/>
  <c r="E6" i="5"/>
  <c r="E7" i="5"/>
  <c r="E8" i="5"/>
  <c r="E9" i="5"/>
  <c r="E10" i="5"/>
  <c r="E11" i="5"/>
  <c r="E12" i="5"/>
  <c r="E13" i="5"/>
  <c r="E14" i="5"/>
  <c r="E5" i="5"/>
  <c r="D6" i="5"/>
  <c r="D7" i="5"/>
  <c r="D8" i="5"/>
  <c r="D9" i="5"/>
  <c r="D10" i="5"/>
  <c r="D11" i="5"/>
  <c r="D12" i="5"/>
  <c r="D13" i="5"/>
  <c r="D14" i="5"/>
  <c r="D5" i="5"/>
  <c r="C6" i="5"/>
  <c r="C7" i="5"/>
  <c r="C8" i="5"/>
  <c r="C9" i="5"/>
  <c r="C10" i="5"/>
  <c r="C11" i="5"/>
  <c r="C12" i="5"/>
  <c r="C13" i="5"/>
  <c r="C14" i="5"/>
  <c r="C5" i="5"/>
  <c r="E5" i="3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C5" i="3"/>
  <c r="C6" i="3"/>
  <c r="C7" i="3"/>
  <c r="C8" i="3"/>
  <c r="C9" i="3"/>
  <c r="C10" i="3"/>
  <c r="C11" i="3"/>
  <c r="C12" i="3"/>
  <c r="C13" i="3"/>
  <c r="C4" i="3"/>
  <c r="E4" i="2"/>
  <c r="E5" i="2"/>
  <c r="E6" i="2"/>
  <c r="E7" i="2"/>
  <c r="E8" i="2"/>
  <c r="E9" i="2"/>
  <c r="E10" i="2"/>
  <c r="E11" i="2"/>
  <c r="E12" i="2"/>
  <c r="E13" i="2"/>
  <c r="D5" i="2"/>
  <c r="D6" i="2"/>
  <c r="D7" i="2"/>
  <c r="D8" i="2"/>
  <c r="D9" i="2"/>
  <c r="D10" i="2"/>
  <c r="D11" i="2"/>
  <c r="D12" i="2"/>
  <c r="D13" i="2"/>
  <c r="D4" i="2"/>
  <c r="C4" i="2"/>
  <c r="C5" i="2"/>
  <c r="C6" i="2"/>
  <c r="C7" i="2"/>
  <c r="C8" i="2"/>
  <c r="C9" i="2"/>
  <c r="C10" i="2"/>
  <c r="C11" i="2"/>
  <c r="C12" i="2"/>
  <c r="C13" i="2"/>
  <c r="G19" i="1"/>
  <c r="H19" i="1"/>
  <c r="I19" i="1"/>
  <c r="J19" i="1"/>
  <c r="K19" i="1"/>
  <c r="F19" i="1"/>
  <c r="G18" i="1"/>
  <c r="H18" i="1"/>
  <c r="I18" i="1"/>
  <c r="J18" i="1"/>
  <c r="K18" i="1"/>
  <c r="F18" i="1"/>
  <c r="G17" i="1"/>
  <c r="H17" i="1"/>
  <c r="I17" i="1"/>
  <c r="J17" i="1"/>
  <c r="K17" i="1"/>
  <c r="F17" i="1"/>
  <c r="K16" i="1"/>
  <c r="G16" i="1"/>
  <c r="H16" i="1"/>
  <c r="I16" i="1"/>
  <c r="J16" i="1"/>
  <c r="F16" i="1"/>
  <c r="G15" i="1"/>
  <c r="H15" i="1"/>
  <c r="I15" i="1"/>
  <c r="J15" i="1"/>
  <c r="K15" i="1"/>
  <c r="F15" i="1"/>
  <c r="K6" i="1"/>
  <c r="K7" i="1"/>
  <c r="K8" i="1"/>
  <c r="K9" i="1"/>
  <c r="K10" i="1"/>
  <c r="K11" i="1"/>
  <c r="K12" i="1"/>
  <c r="K13" i="1"/>
  <c r="K14" i="1"/>
  <c r="K5" i="1"/>
  <c r="J6" i="1"/>
  <c r="J7" i="1"/>
  <c r="J8" i="1"/>
  <c r="J9" i="1"/>
  <c r="J10" i="1"/>
  <c r="J11" i="1"/>
  <c r="J12" i="1"/>
  <c r="J13" i="1"/>
  <c r="J14" i="1"/>
  <c r="J5" i="1"/>
  <c r="I6" i="1"/>
  <c r="I7" i="1"/>
  <c r="I8" i="1"/>
  <c r="I9" i="1"/>
  <c r="I10" i="1"/>
  <c r="I11" i="1"/>
  <c r="I12" i="1"/>
  <c r="I13" i="1"/>
  <c r="I14" i="1"/>
  <c r="I5" i="1"/>
  <c r="H6" i="1"/>
  <c r="H7" i="1"/>
  <c r="H8" i="1"/>
  <c r="H9" i="1"/>
  <c r="H10" i="1"/>
  <c r="H11" i="1"/>
  <c r="H12" i="1"/>
  <c r="H13" i="1"/>
  <c r="H14" i="1"/>
  <c r="H5" i="1"/>
  <c r="G6" i="1"/>
  <c r="G7" i="1"/>
  <c r="G8" i="1"/>
  <c r="G9" i="1"/>
  <c r="G10" i="1"/>
  <c r="G11" i="1"/>
  <c r="G12" i="1"/>
  <c r="G13" i="1"/>
  <c r="G14" i="1"/>
  <c r="G5" i="1"/>
  <c r="F6" i="1"/>
  <c r="F7" i="1"/>
  <c r="F8" i="1"/>
  <c r="F9" i="1"/>
  <c r="F10" i="1"/>
  <c r="F11" i="1"/>
  <c r="F12" i="1"/>
  <c r="F13" i="1"/>
  <c r="F14" i="1"/>
  <c r="F5" i="1"/>
</calcChain>
</file>

<file path=xl/sharedStrings.xml><?xml version="1.0" encoding="utf-8"?>
<sst xmlns="http://schemas.openxmlformats.org/spreadsheetml/2006/main" count="217" uniqueCount="64">
  <si>
    <t>KELAS BKDN EXCEL TAHUN 2026</t>
  </si>
  <si>
    <t>NO</t>
  </si>
  <si>
    <t>NAMA PESERTA</t>
  </si>
  <si>
    <t>POINT</t>
  </si>
  <si>
    <t>A</t>
  </si>
  <si>
    <t>B</t>
  </si>
  <si>
    <t>OPERATOR ARITMATIKA</t>
  </si>
  <si>
    <t>A+B</t>
  </si>
  <si>
    <t>A-B</t>
  </si>
  <si>
    <t>A*B</t>
  </si>
  <si>
    <t>A/B</t>
  </si>
  <si>
    <t>POINT A PANGKAT 2</t>
  </si>
  <si>
    <t>POINT B PANGKAT 4</t>
  </si>
  <si>
    <t>ARA</t>
  </si>
  <si>
    <t>YUNIZAR</t>
  </si>
  <si>
    <t>RAFA</t>
  </si>
  <si>
    <t>MIRA</t>
  </si>
  <si>
    <t>BAGAS</t>
  </si>
  <si>
    <t>ARDIANSYAH</t>
  </si>
  <si>
    <t>ALBIRRU</t>
  </si>
  <si>
    <t>AZZA</t>
  </si>
  <si>
    <t>RARA</t>
  </si>
  <si>
    <t>RAYYA</t>
  </si>
  <si>
    <t>NILAI TOTAL</t>
  </si>
  <si>
    <t>NILAI TERTINGGI</t>
  </si>
  <si>
    <t>NILAI TERENDAH</t>
  </si>
  <si>
    <t>NILAI RATA-RATA</t>
  </si>
  <si>
    <t>JUMLAH CELL</t>
  </si>
  <si>
    <t>BELAJAR VLOOKUP PEMULA</t>
  </si>
  <si>
    <t>Kode</t>
  </si>
  <si>
    <t>Nama Barang</t>
  </si>
  <si>
    <t>Harga</t>
  </si>
  <si>
    <t>Satuan</t>
  </si>
  <si>
    <t>D</t>
  </si>
  <si>
    <t>C</t>
  </si>
  <si>
    <t>Tabel Bantu</t>
  </si>
  <si>
    <t>Sabun</t>
  </si>
  <si>
    <t>Minyak Goreng</t>
  </si>
  <si>
    <t>Susu</t>
  </si>
  <si>
    <t>Gula Pasir</t>
  </si>
  <si>
    <t>Buah</t>
  </si>
  <si>
    <t>Liter</t>
  </si>
  <si>
    <t>Kaleng</t>
  </si>
  <si>
    <t>Kilogram</t>
  </si>
  <si>
    <t>BELAJAR HLOOKUP PEMULA</t>
  </si>
  <si>
    <t>TABEL NILAI</t>
  </si>
  <si>
    <t>NAMA</t>
  </si>
  <si>
    <t>NILAI</t>
  </si>
  <si>
    <t>STATUS</t>
  </si>
  <si>
    <t>TABEL SISWA</t>
  </si>
  <si>
    <t>JENIS KELAMIN</t>
  </si>
  <si>
    <t>KETERANGAN</t>
  </si>
  <si>
    <t>P</t>
  </si>
  <si>
    <t>L</t>
  </si>
  <si>
    <r>
      <t xml:space="preserve">Ketentuan: Jika Nilai &gt;70 maka </t>
    </r>
    <r>
      <rPr>
        <sz val="12"/>
        <color rgb="FFFF0000"/>
        <rFont val="Arial"/>
        <family val="2"/>
      </rPr>
      <t>Lulus</t>
    </r>
    <r>
      <rPr>
        <sz val="12"/>
        <color theme="1"/>
        <rFont val="Arial"/>
        <family val="2"/>
      </rPr>
      <t xml:space="preserve">, selain itu </t>
    </r>
    <r>
      <rPr>
        <sz val="12"/>
        <color rgb="FFFF0000"/>
        <rFont val="Arial"/>
        <family val="2"/>
      </rPr>
      <t>Tidak Lulus</t>
    </r>
  </si>
  <si>
    <r>
      <t>Ketentuan: Jika Jenis Kelamin = L, Maka keterangan =</t>
    </r>
    <r>
      <rPr>
        <sz val="12"/>
        <color rgb="FFFF0000"/>
        <rFont val="Arial"/>
        <family val="2"/>
      </rPr>
      <t xml:space="preserve"> Laki-laki</t>
    </r>
    <r>
      <rPr>
        <sz val="12"/>
        <color theme="1"/>
        <rFont val="Arial"/>
        <family val="2"/>
      </rPr>
      <t xml:space="preserve">, selain itu </t>
    </r>
    <r>
      <rPr>
        <sz val="12"/>
        <color rgb="FFFF0000"/>
        <rFont val="Arial"/>
        <family val="2"/>
      </rPr>
      <t>Perempuan</t>
    </r>
  </si>
  <si>
    <t>PREDIKAT</t>
  </si>
  <si>
    <t>TABEL PREDIKAT</t>
  </si>
  <si>
    <t>Ketentuan:</t>
  </si>
  <si>
    <t>Nilai &gt;=90 maka predikat A</t>
  </si>
  <si>
    <t>Nilai 80-89 maka predikat B</t>
  </si>
  <si>
    <t>Nilai 60-79 maka predikat C</t>
  </si>
  <si>
    <t>Nilai 40-59 maka predikat D</t>
  </si>
  <si>
    <t>Nilai 0-39 maka predikat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</si>
</sst>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2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Arial"/>
      <family val="2"/>
    </font>
    <font>
      <b/>
      <sz val="24"/>
      <color rgb="FFFF0000"/>
      <name val="Arial"/>
      <family val="2"/>
    </font>
    <font>
      <sz val="12"/>
      <color rgb="FFFF0000"/>
      <name val="Arial"/>
      <family val="2"/>
    </font>
    <font>
      <b/>
      <sz val="22"/>
      <color rgb="FFFF0000"/>
      <name val="Arial"/>
      <family val="2"/>
    </font>
    <font>
      <b/>
      <sz val="18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0" xfId="0" applyBorder="1"/>
    <xf numFmtId="6" fontId="0" fillId="0" borderId="1" xfId="0" applyNumberForma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12" fillId="0" borderId="0" xfId="0" applyFont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8598-FD60-46AF-90A9-EE9F9727A1D7}">
  <dimension ref="A1:K20"/>
  <sheetViews>
    <sheetView topLeftCell="A2" workbookViewId="0">
      <selection activeCell="C5" sqref="C5:C14"/>
    </sheetView>
  </sheetViews>
  <sheetFormatPr defaultRowHeight="15" x14ac:dyDescent="0.25"/>
  <cols>
    <col min="3" max="3" width="19.85546875" bestFit="1" customWidth="1"/>
    <col min="10" max="11" width="14.5703125" bestFit="1" customWidth="1"/>
  </cols>
  <sheetData>
    <row r="1" spans="1:11" ht="24" thickBot="1" x14ac:dyDescent="0.4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1" ht="15.75" thickBot="1" x14ac:dyDescent="0.3"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1.5" customHeight="1" thickTop="1" thickBot="1" x14ac:dyDescent="0.3">
      <c r="A3" s="4"/>
      <c r="B3" s="5" t="s">
        <v>1</v>
      </c>
      <c r="C3" s="5" t="s">
        <v>2</v>
      </c>
      <c r="D3" s="6" t="s">
        <v>3</v>
      </c>
      <c r="E3" s="7"/>
      <c r="F3" s="6" t="s">
        <v>6</v>
      </c>
      <c r="G3" s="8"/>
      <c r="H3" s="8"/>
      <c r="I3" s="7"/>
      <c r="J3" s="9" t="s">
        <v>11</v>
      </c>
      <c r="K3" s="10" t="s">
        <v>12</v>
      </c>
    </row>
    <row r="4" spans="1:11" ht="16.5" thickTop="1" x14ac:dyDescent="0.25">
      <c r="A4" s="4"/>
      <c r="B4" s="11"/>
      <c r="C4" s="11"/>
      <c r="D4" s="12" t="s">
        <v>4</v>
      </c>
      <c r="E4" s="12" t="s">
        <v>5</v>
      </c>
      <c r="F4" s="12" t="s">
        <v>7</v>
      </c>
      <c r="G4" s="12" t="s">
        <v>8</v>
      </c>
      <c r="H4" s="12" t="s">
        <v>9</v>
      </c>
      <c r="I4" s="12" t="s">
        <v>10</v>
      </c>
      <c r="J4" s="13"/>
      <c r="K4" s="13"/>
    </row>
    <row r="5" spans="1:11" x14ac:dyDescent="0.25">
      <c r="A5" s="4"/>
      <c r="B5" s="14">
        <v>1</v>
      </c>
      <c r="C5" s="14" t="s">
        <v>13</v>
      </c>
      <c r="D5" s="15">
        <v>90</v>
      </c>
      <c r="E5" s="16">
        <v>60</v>
      </c>
      <c r="F5" s="33">
        <f>D5+E5</f>
        <v>150</v>
      </c>
      <c r="G5" s="33">
        <f>D5-E5</f>
        <v>30</v>
      </c>
      <c r="H5" s="33">
        <f>D5*E5</f>
        <v>5400</v>
      </c>
      <c r="I5" s="34">
        <f>D5/E5</f>
        <v>1.5</v>
      </c>
      <c r="J5" s="33">
        <f>D5^2</f>
        <v>8100</v>
      </c>
      <c r="K5" s="33">
        <f>E5^4</f>
        <v>12960000</v>
      </c>
    </row>
    <row r="6" spans="1:11" x14ac:dyDescent="0.25">
      <c r="A6" s="4"/>
      <c r="B6" s="14">
        <v>2</v>
      </c>
      <c r="C6" s="14" t="s">
        <v>14</v>
      </c>
      <c r="D6" s="15">
        <v>85</v>
      </c>
      <c r="E6" s="16">
        <v>50</v>
      </c>
      <c r="F6" s="33">
        <f t="shared" ref="F6:F14" si="0">D6+E6</f>
        <v>135</v>
      </c>
      <c r="G6" s="33">
        <f t="shared" ref="G6:G14" si="1">D6-E6</f>
        <v>35</v>
      </c>
      <c r="H6" s="33">
        <f t="shared" ref="H6:H14" si="2">D6*E6</f>
        <v>4250</v>
      </c>
      <c r="I6" s="34">
        <f t="shared" ref="I6:I14" si="3">D6/E6</f>
        <v>1.7</v>
      </c>
      <c r="J6" s="33">
        <f t="shared" ref="J6:J14" si="4">D6^2</f>
        <v>7225</v>
      </c>
      <c r="K6" s="33">
        <f t="shared" ref="K6:K14" si="5">E6^4</f>
        <v>6250000</v>
      </c>
    </row>
    <row r="7" spans="1:11" x14ac:dyDescent="0.25">
      <c r="A7" s="4"/>
      <c r="B7" s="14">
        <v>3</v>
      </c>
      <c r="C7" s="14" t="s">
        <v>15</v>
      </c>
      <c r="D7" s="15">
        <v>75</v>
      </c>
      <c r="E7" s="16">
        <v>45</v>
      </c>
      <c r="F7" s="33">
        <f t="shared" si="0"/>
        <v>120</v>
      </c>
      <c r="G7" s="33">
        <f t="shared" si="1"/>
        <v>30</v>
      </c>
      <c r="H7" s="33">
        <f t="shared" si="2"/>
        <v>3375</v>
      </c>
      <c r="I7" s="34">
        <f t="shared" si="3"/>
        <v>1.6666666666666667</v>
      </c>
      <c r="J7" s="33">
        <f t="shared" si="4"/>
        <v>5625</v>
      </c>
      <c r="K7" s="33">
        <f t="shared" si="5"/>
        <v>4100625</v>
      </c>
    </row>
    <row r="8" spans="1:11" x14ac:dyDescent="0.25">
      <c r="A8" s="4"/>
      <c r="B8" s="14">
        <v>4</v>
      </c>
      <c r="C8" s="14" t="s">
        <v>16</v>
      </c>
      <c r="D8" s="15">
        <v>90</v>
      </c>
      <c r="E8" s="16">
        <v>55</v>
      </c>
      <c r="F8" s="33">
        <f t="shared" si="0"/>
        <v>145</v>
      </c>
      <c r="G8" s="33">
        <f t="shared" si="1"/>
        <v>35</v>
      </c>
      <c r="H8" s="33">
        <f t="shared" si="2"/>
        <v>4950</v>
      </c>
      <c r="I8" s="34">
        <f t="shared" si="3"/>
        <v>1.6363636363636365</v>
      </c>
      <c r="J8" s="33">
        <f t="shared" si="4"/>
        <v>8100</v>
      </c>
      <c r="K8" s="33">
        <f t="shared" si="5"/>
        <v>9150625</v>
      </c>
    </row>
    <row r="9" spans="1:11" x14ac:dyDescent="0.25">
      <c r="A9" s="4"/>
      <c r="B9" s="14">
        <v>5</v>
      </c>
      <c r="C9" s="14" t="s">
        <v>17</v>
      </c>
      <c r="D9" s="15">
        <v>98</v>
      </c>
      <c r="E9" s="16">
        <v>60</v>
      </c>
      <c r="F9" s="33">
        <f t="shared" si="0"/>
        <v>158</v>
      </c>
      <c r="G9" s="33">
        <f t="shared" si="1"/>
        <v>38</v>
      </c>
      <c r="H9" s="33">
        <f t="shared" si="2"/>
        <v>5880</v>
      </c>
      <c r="I9" s="34">
        <f t="shared" si="3"/>
        <v>1.6333333333333333</v>
      </c>
      <c r="J9" s="33">
        <f t="shared" si="4"/>
        <v>9604</v>
      </c>
      <c r="K9" s="33">
        <f t="shared" si="5"/>
        <v>12960000</v>
      </c>
    </row>
    <row r="10" spans="1:11" x14ac:dyDescent="0.25">
      <c r="A10" s="4"/>
      <c r="B10" s="14">
        <v>6</v>
      </c>
      <c r="C10" s="14" t="s">
        <v>18</v>
      </c>
      <c r="D10" s="15">
        <v>55</v>
      </c>
      <c r="E10" s="16">
        <v>35</v>
      </c>
      <c r="F10" s="33">
        <f t="shared" si="0"/>
        <v>90</v>
      </c>
      <c r="G10" s="33">
        <f t="shared" si="1"/>
        <v>20</v>
      </c>
      <c r="H10" s="33">
        <f t="shared" si="2"/>
        <v>1925</v>
      </c>
      <c r="I10" s="34">
        <f t="shared" si="3"/>
        <v>1.5714285714285714</v>
      </c>
      <c r="J10" s="33">
        <f t="shared" si="4"/>
        <v>3025</v>
      </c>
      <c r="K10" s="33">
        <f t="shared" si="5"/>
        <v>1500625</v>
      </c>
    </row>
    <row r="11" spans="1:11" x14ac:dyDescent="0.25">
      <c r="A11" s="4"/>
      <c r="B11" s="14">
        <v>7</v>
      </c>
      <c r="C11" s="14" t="s">
        <v>19</v>
      </c>
      <c r="D11" s="15">
        <v>70</v>
      </c>
      <c r="E11" s="16">
        <v>40</v>
      </c>
      <c r="F11" s="33">
        <f t="shared" si="0"/>
        <v>110</v>
      </c>
      <c r="G11" s="33">
        <f t="shared" si="1"/>
        <v>30</v>
      </c>
      <c r="H11" s="33">
        <f t="shared" si="2"/>
        <v>2800</v>
      </c>
      <c r="I11" s="34">
        <f t="shared" si="3"/>
        <v>1.75</v>
      </c>
      <c r="J11" s="33">
        <f t="shared" si="4"/>
        <v>4900</v>
      </c>
      <c r="K11" s="33">
        <f t="shared" si="5"/>
        <v>2560000</v>
      </c>
    </row>
    <row r="12" spans="1:11" x14ac:dyDescent="0.25">
      <c r="A12" s="4"/>
      <c r="B12" s="14">
        <v>8</v>
      </c>
      <c r="C12" s="14" t="s">
        <v>20</v>
      </c>
      <c r="D12" s="15">
        <v>60</v>
      </c>
      <c r="E12" s="16">
        <v>25</v>
      </c>
      <c r="F12" s="33">
        <f t="shared" si="0"/>
        <v>85</v>
      </c>
      <c r="G12" s="33">
        <f t="shared" si="1"/>
        <v>35</v>
      </c>
      <c r="H12" s="33">
        <f t="shared" si="2"/>
        <v>1500</v>
      </c>
      <c r="I12" s="34">
        <f t="shared" si="3"/>
        <v>2.4</v>
      </c>
      <c r="J12" s="33">
        <f t="shared" si="4"/>
        <v>3600</v>
      </c>
      <c r="K12" s="33">
        <f t="shared" si="5"/>
        <v>390625</v>
      </c>
    </row>
    <row r="13" spans="1:11" x14ac:dyDescent="0.25">
      <c r="A13" s="4"/>
      <c r="B13" s="14">
        <v>9</v>
      </c>
      <c r="C13" s="14" t="s">
        <v>21</v>
      </c>
      <c r="D13" s="15">
        <v>68</v>
      </c>
      <c r="E13" s="16">
        <v>70</v>
      </c>
      <c r="F13" s="33">
        <f t="shared" si="0"/>
        <v>138</v>
      </c>
      <c r="G13" s="33">
        <f t="shared" si="1"/>
        <v>-2</v>
      </c>
      <c r="H13" s="33">
        <f t="shared" si="2"/>
        <v>4760</v>
      </c>
      <c r="I13" s="34">
        <f t="shared" si="3"/>
        <v>0.97142857142857142</v>
      </c>
      <c r="J13" s="33">
        <f t="shared" si="4"/>
        <v>4624</v>
      </c>
      <c r="K13" s="33">
        <f t="shared" si="5"/>
        <v>24010000</v>
      </c>
    </row>
    <row r="14" spans="1:11" ht="15.75" thickBot="1" x14ac:dyDescent="0.3">
      <c r="A14" s="4"/>
      <c r="B14" s="17">
        <v>10</v>
      </c>
      <c r="C14" s="18" t="s">
        <v>22</v>
      </c>
      <c r="D14" s="19">
        <v>77</v>
      </c>
      <c r="E14" s="20">
        <v>60</v>
      </c>
      <c r="F14" s="35">
        <f t="shared" si="0"/>
        <v>137</v>
      </c>
      <c r="G14" s="33">
        <f t="shared" si="1"/>
        <v>17</v>
      </c>
      <c r="H14" s="33">
        <f t="shared" si="2"/>
        <v>4620</v>
      </c>
      <c r="I14" s="34">
        <f t="shared" si="3"/>
        <v>1.2833333333333334</v>
      </c>
      <c r="J14" s="33">
        <f t="shared" si="4"/>
        <v>5929</v>
      </c>
      <c r="K14" s="33">
        <f t="shared" si="5"/>
        <v>12960000</v>
      </c>
    </row>
    <row r="15" spans="1:11" ht="15.75" thickTop="1" x14ac:dyDescent="0.25">
      <c r="B15" s="21" t="s">
        <v>23</v>
      </c>
      <c r="C15" s="21"/>
      <c r="D15" s="21"/>
      <c r="E15" s="21"/>
      <c r="F15" s="26">
        <f>SUM(F5:F14)</f>
        <v>1268</v>
      </c>
      <c r="G15" s="31">
        <f t="shared" ref="G15:K15" si="6">SUM(G5:G14)</f>
        <v>268</v>
      </c>
      <c r="H15" s="31">
        <f t="shared" si="6"/>
        <v>39460</v>
      </c>
      <c r="I15" s="31">
        <f t="shared" si="6"/>
        <v>16.112554112554115</v>
      </c>
      <c r="J15" s="31">
        <f t="shared" si="6"/>
        <v>60732</v>
      </c>
      <c r="K15" s="31">
        <f t="shared" si="6"/>
        <v>86842500</v>
      </c>
    </row>
    <row r="16" spans="1:11" x14ac:dyDescent="0.25">
      <c r="B16" s="22" t="s">
        <v>24</v>
      </c>
      <c r="C16" s="22"/>
      <c r="D16" s="22"/>
      <c r="E16" s="22"/>
      <c r="F16" s="27">
        <f>MAX(F5:F14)</f>
        <v>158</v>
      </c>
      <c r="G16" s="27">
        <f t="shared" ref="G16:J16" si="7">MAX(G5:G14)</f>
        <v>38</v>
      </c>
      <c r="H16" s="27">
        <f t="shared" si="7"/>
        <v>5880</v>
      </c>
      <c r="I16" s="27">
        <f t="shared" si="7"/>
        <v>2.4</v>
      </c>
      <c r="J16" s="27">
        <f t="shared" si="7"/>
        <v>9604</v>
      </c>
      <c r="K16" s="32">
        <f>MAX(K5:K14)</f>
        <v>24010000</v>
      </c>
    </row>
    <row r="17" spans="2:11" x14ac:dyDescent="0.25">
      <c r="B17" s="23" t="s">
        <v>25</v>
      </c>
      <c r="C17" s="23"/>
      <c r="D17" s="23"/>
      <c r="E17" s="23"/>
      <c r="F17" s="28">
        <f>MIN(F5:F14)</f>
        <v>85</v>
      </c>
      <c r="G17" s="28">
        <f t="shared" ref="G17:K17" si="8">MIN(G5:G14)</f>
        <v>-2</v>
      </c>
      <c r="H17" s="28">
        <f t="shared" si="8"/>
        <v>1500</v>
      </c>
      <c r="I17" s="28">
        <f t="shared" si="8"/>
        <v>0.97142857142857142</v>
      </c>
      <c r="J17" s="28">
        <f t="shared" si="8"/>
        <v>3025</v>
      </c>
      <c r="K17" s="28">
        <f t="shared" si="8"/>
        <v>390625</v>
      </c>
    </row>
    <row r="18" spans="2:11" x14ac:dyDescent="0.25">
      <c r="B18" s="24" t="s">
        <v>26</v>
      </c>
      <c r="C18" s="24"/>
      <c r="D18" s="24"/>
      <c r="E18" s="24"/>
      <c r="F18" s="29">
        <f>AVERAGE(F5:F14)</f>
        <v>126.8</v>
      </c>
      <c r="G18" s="29">
        <f t="shared" ref="G18:K18" si="9">AVERAGE(G5:G14)</f>
        <v>26.8</v>
      </c>
      <c r="H18" s="29">
        <f t="shared" si="9"/>
        <v>3946</v>
      </c>
      <c r="I18" s="29">
        <f t="shared" si="9"/>
        <v>1.6112554112554114</v>
      </c>
      <c r="J18" s="29">
        <f t="shared" si="9"/>
        <v>6073.2</v>
      </c>
      <c r="K18" s="29">
        <f t="shared" si="9"/>
        <v>8684250</v>
      </c>
    </row>
    <row r="19" spans="2:11" ht="15.75" thickBot="1" x14ac:dyDescent="0.3">
      <c r="B19" s="25" t="s">
        <v>27</v>
      </c>
      <c r="C19" s="25"/>
      <c r="D19" s="25"/>
      <c r="E19" s="25"/>
      <c r="F19" s="30">
        <f>COUNT(F5:F14)</f>
        <v>10</v>
      </c>
      <c r="G19" s="30">
        <f t="shared" ref="G19:K19" si="10">COUNT(G5:G14)</f>
        <v>10</v>
      </c>
      <c r="H19" s="30">
        <f t="shared" si="10"/>
        <v>10</v>
      </c>
      <c r="I19" s="30">
        <f t="shared" si="10"/>
        <v>10</v>
      </c>
      <c r="J19" s="30">
        <f t="shared" si="10"/>
        <v>10</v>
      </c>
      <c r="K19" s="30">
        <f t="shared" si="10"/>
        <v>10</v>
      </c>
    </row>
    <row r="20" spans="2:11" ht="15.75" thickTop="1" x14ac:dyDescent="0.25"/>
  </sheetData>
  <mergeCells count="12">
    <mergeCell ref="B15:E15"/>
    <mergeCell ref="B16:E16"/>
    <mergeCell ref="B17:E17"/>
    <mergeCell ref="B18:E18"/>
    <mergeCell ref="B19:E19"/>
    <mergeCell ref="B1:K1"/>
    <mergeCell ref="B3:B4"/>
    <mergeCell ref="C3:C4"/>
    <mergeCell ref="F3:I3"/>
    <mergeCell ref="D3:E3"/>
    <mergeCell ref="J3:J4"/>
    <mergeCell ref="K3:K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2B9D-2BAB-46C5-8316-33BB2B34A61E}">
  <dimension ref="B1:K13"/>
  <sheetViews>
    <sheetView workbookViewId="0">
      <selection activeCell="H4" sqref="H4:K8"/>
    </sheetView>
  </sheetViews>
  <sheetFormatPr defaultRowHeight="15" x14ac:dyDescent="0.25"/>
  <cols>
    <col min="3" max="3" width="14.42578125" bestFit="1" customWidth="1"/>
    <col min="9" max="9" width="15.140625" customWidth="1"/>
  </cols>
  <sheetData>
    <row r="1" spans="2:11" ht="28.5" x14ac:dyDescent="0.45">
      <c r="B1" s="39" t="s">
        <v>28</v>
      </c>
      <c r="C1" s="39"/>
      <c r="D1" s="39"/>
      <c r="E1" s="39"/>
      <c r="F1" s="39"/>
      <c r="G1" s="39"/>
      <c r="H1" s="39"/>
      <c r="I1" s="39"/>
      <c r="J1" s="39"/>
      <c r="K1" s="39"/>
    </row>
    <row r="2" spans="2:11" x14ac:dyDescent="0.25">
      <c r="D2" s="36"/>
      <c r="E2" s="36"/>
    </row>
    <row r="3" spans="2:11" x14ac:dyDescent="0.25">
      <c r="B3" s="38" t="s">
        <v>29</v>
      </c>
      <c r="C3" s="38" t="s">
        <v>30</v>
      </c>
      <c r="D3" s="38" t="s">
        <v>31</v>
      </c>
      <c r="E3" s="38" t="s">
        <v>32</v>
      </c>
      <c r="H3" s="40" t="s">
        <v>35</v>
      </c>
      <c r="I3" s="40"/>
    </row>
    <row r="4" spans="2:11" x14ac:dyDescent="0.25">
      <c r="B4" s="1" t="s">
        <v>4</v>
      </c>
      <c r="C4" s="1" t="str">
        <f>VLOOKUP(B4,$H$4:$K$8,2,0)</f>
        <v>Sabun</v>
      </c>
      <c r="D4" s="1">
        <f>VLOOKUP(B4,$H$4:$K$8,3,0)</f>
        <v>4000</v>
      </c>
      <c r="E4" s="1" t="str">
        <f>VLOOKUP(B4,$H$4:$K$8,4,0)</f>
        <v>Buah</v>
      </c>
      <c r="H4" s="38" t="s">
        <v>29</v>
      </c>
      <c r="I4" s="38" t="s">
        <v>30</v>
      </c>
      <c r="J4" s="38" t="s">
        <v>31</v>
      </c>
      <c r="K4" s="38" t="s">
        <v>32</v>
      </c>
    </row>
    <row r="5" spans="2:11" x14ac:dyDescent="0.25">
      <c r="B5" s="1" t="s">
        <v>5</v>
      </c>
      <c r="C5" s="1" t="str">
        <f t="shared" ref="C5:C13" si="0">VLOOKUP(B5,$H$4:$K$8,2,0)</f>
        <v>Minyak Goreng</v>
      </c>
      <c r="D5" s="1">
        <f t="shared" ref="D5:D13" si="1">VLOOKUP(B5,$H$4:$K$8,3,0)</f>
        <v>25000</v>
      </c>
      <c r="E5" s="1" t="str">
        <f t="shared" ref="E5:E13" si="2">VLOOKUP(B5,$H$4:$K$8,4,0)</f>
        <v>Liter</v>
      </c>
      <c r="H5" s="1" t="s">
        <v>4</v>
      </c>
      <c r="I5" s="1" t="s">
        <v>36</v>
      </c>
      <c r="J5" s="37">
        <v>4000</v>
      </c>
      <c r="K5" s="1" t="s">
        <v>40</v>
      </c>
    </row>
    <row r="6" spans="2:11" x14ac:dyDescent="0.25">
      <c r="B6" s="1" t="s">
        <v>33</v>
      </c>
      <c r="C6" s="1" t="str">
        <f t="shared" si="0"/>
        <v>Gula Pasir</v>
      </c>
      <c r="D6" s="1">
        <f t="shared" si="1"/>
        <v>15000</v>
      </c>
      <c r="E6" s="1" t="str">
        <f t="shared" si="2"/>
        <v>Kilogram</v>
      </c>
      <c r="H6" s="1" t="s">
        <v>5</v>
      </c>
      <c r="I6" s="1" t="s">
        <v>37</v>
      </c>
      <c r="J6" s="37">
        <v>25000</v>
      </c>
      <c r="K6" s="1" t="s">
        <v>41</v>
      </c>
    </row>
    <row r="7" spans="2:11" x14ac:dyDescent="0.25">
      <c r="B7" s="1" t="s">
        <v>5</v>
      </c>
      <c r="C7" s="1" t="str">
        <f t="shared" si="0"/>
        <v>Minyak Goreng</v>
      </c>
      <c r="D7" s="1">
        <f t="shared" si="1"/>
        <v>25000</v>
      </c>
      <c r="E7" s="1" t="str">
        <f t="shared" si="2"/>
        <v>Liter</v>
      </c>
      <c r="H7" s="1" t="s">
        <v>34</v>
      </c>
      <c r="I7" s="1" t="s">
        <v>38</v>
      </c>
      <c r="J7" s="37">
        <v>15000</v>
      </c>
      <c r="K7" s="1" t="s">
        <v>42</v>
      </c>
    </row>
    <row r="8" spans="2:11" x14ac:dyDescent="0.25">
      <c r="B8" s="1" t="s">
        <v>5</v>
      </c>
      <c r="C8" s="1" t="str">
        <f t="shared" si="0"/>
        <v>Minyak Goreng</v>
      </c>
      <c r="D8" s="1">
        <f t="shared" si="1"/>
        <v>25000</v>
      </c>
      <c r="E8" s="1" t="str">
        <f t="shared" si="2"/>
        <v>Liter</v>
      </c>
      <c r="H8" s="1" t="s">
        <v>33</v>
      </c>
      <c r="I8" s="1" t="s">
        <v>39</v>
      </c>
      <c r="J8" s="37">
        <v>15000</v>
      </c>
      <c r="K8" s="1" t="s">
        <v>43</v>
      </c>
    </row>
    <row r="9" spans="2:11" x14ac:dyDescent="0.25">
      <c r="B9" s="1" t="s">
        <v>34</v>
      </c>
      <c r="C9" s="1" t="str">
        <f t="shared" si="0"/>
        <v>Susu</v>
      </c>
      <c r="D9" s="1">
        <f t="shared" si="1"/>
        <v>15000</v>
      </c>
      <c r="E9" s="1" t="str">
        <f t="shared" si="2"/>
        <v>Kaleng</v>
      </c>
    </row>
    <row r="10" spans="2:11" x14ac:dyDescent="0.25">
      <c r="B10" s="1" t="s">
        <v>5</v>
      </c>
      <c r="C10" s="1" t="str">
        <f t="shared" si="0"/>
        <v>Minyak Goreng</v>
      </c>
      <c r="D10" s="1">
        <f t="shared" si="1"/>
        <v>25000</v>
      </c>
      <c r="E10" s="1" t="str">
        <f t="shared" si="2"/>
        <v>Liter</v>
      </c>
    </row>
    <row r="11" spans="2:11" x14ac:dyDescent="0.25">
      <c r="B11" s="1" t="s">
        <v>4</v>
      </c>
      <c r="C11" s="1" t="str">
        <f t="shared" si="0"/>
        <v>Sabun</v>
      </c>
      <c r="D11" s="1">
        <f t="shared" si="1"/>
        <v>4000</v>
      </c>
      <c r="E11" s="1" t="str">
        <f t="shared" si="2"/>
        <v>Buah</v>
      </c>
    </row>
    <row r="12" spans="2:11" x14ac:dyDescent="0.25">
      <c r="B12" s="1" t="s">
        <v>34</v>
      </c>
      <c r="C12" s="1" t="str">
        <f t="shared" si="0"/>
        <v>Susu</v>
      </c>
      <c r="D12" s="1">
        <f t="shared" si="1"/>
        <v>15000</v>
      </c>
      <c r="E12" s="1" t="str">
        <f t="shared" si="2"/>
        <v>Kaleng</v>
      </c>
    </row>
    <row r="13" spans="2:11" x14ac:dyDescent="0.25">
      <c r="B13" s="1" t="s">
        <v>33</v>
      </c>
      <c r="C13" s="1" t="str">
        <f t="shared" si="0"/>
        <v>Gula Pasir</v>
      </c>
      <c r="D13" s="1">
        <f t="shared" si="1"/>
        <v>15000</v>
      </c>
      <c r="E13" s="1" t="str">
        <f t="shared" si="2"/>
        <v>Kilogram</v>
      </c>
    </row>
  </sheetData>
  <mergeCells count="1">
    <mergeCell ref="B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1BD9-967C-4376-A0F3-D91E4C7CDB0D}">
  <dimension ref="B3:E13"/>
  <sheetViews>
    <sheetView workbookViewId="0">
      <selection activeCell="B3" sqref="B3:E3"/>
    </sheetView>
  </sheetViews>
  <sheetFormatPr defaultRowHeight="15" x14ac:dyDescent="0.25"/>
  <cols>
    <col min="3" max="3" width="16.5703125" customWidth="1"/>
  </cols>
  <sheetData>
    <row r="3" spans="2:5" x14ac:dyDescent="0.25">
      <c r="B3" s="41" t="s">
        <v>29</v>
      </c>
      <c r="C3" s="41" t="s">
        <v>30</v>
      </c>
      <c r="D3" s="41" t="s">
        <v>31</v>
      </c>
      <c r="E3" s="41" t="s">
        <v>32</v>
      </c>
    </row>
    <row r="4" spans="2:5" x14ac:dyDescent="0.25">
      <c r="B4" s="1" t="s">
        <v>4</v>
      </c>
      <c r="C4" s="1" t="str">
        <f>VLOOKUP(B4,Bantu,2,0)</f>
        <v>Sabun</v>
      </c>
      <c r="D4" s="1">
        <f>VLOOKUP(B4,Bantu,3,0)</f>
        <v>4000</v>
      </c>
      <c r="E4" s="1" t="str">
        <f>VLOOKUP(B4,Bantu,4,0)</f>
        <v>Buah</v>
      </c>
    </row>
    <row r="5" spans="2:5" x14ac:dyDescent="0.25">
      <c r="B5" s="1" t="s">
        <v>5</v>
      </c>
      <c r="C5" s="1" t="str">
        <f>VLOOKUP(B5,Bantu,2,0)</f>
        <v>Minyak Goreng</v>
      </c>
      <c r="D5" s="1">
        <f>VLOOKUP(B5,Bantu,3,0)</f>
        <v>25000</v>
      </c>
      <c r="E5" s="1" t="str">
        <f>VLOOKUP(B5,Bantu,4,0)</f>
        <v>Liter</v>
      </c>
    </row>
    <row r="6" spans="2:5" x14ac:dyDescent="0.25">
      <c r="B6" s="1" t="s">
        <v>33</v>
      </c>
      <c r="C6" s="1" t="str">
        <f>VLOOKUP(B6,Bantu,2,0)</f>
        <v>Gula Pasir</v>
      </c>
      <c r="D6" s="1">
        <f>VLOOKUP(B6,Bantu,3,0)</f>
        <v>15000</v>
      </c>
      <c r="E6" s="1" t="str">
        <f>VLOOKUP(B6,Bantu,4,0)</f>
        <v>Kilogram</v>
      </c>
    </row>
    <row r="7" spans="2:5" x14ac:dyDescent="0.25">
      <c r="B7" s="1" t="s">
        <v>5</v>
      </c>
      <c r="C7" s="1" t="str">
        <f>VLOOKUP(B7,Bantu,2,0)</f>
        <v>Minyak Goreng</v>
      </c>
      <c r="D7" s="1">
        <f>VLOOKUP(B7,Bantu,3,0)</f>
        <v>25000</v>
      </c>
      <c r="E7" s="1" t="str">
        <f>VLOOKUP(B7,Bantu,4,0)</f>
        <v>Liter</v>
      </c>
    </row>
    <row r="8" spans="2:5" x14ac:dyDescent="0.25">
      <c r="B8" s="1" t="s">
        <v>5</v>
      </c>
      <c r="C8" s="1" t="str">
        <f>VLOOKUP(B8,Bantu,2,0)</f>
        <v>Minyak Goreng</v>
      </c>
      <c r="D8" s="1">
        <f>VLOOKUP(B8,Bantu,3,0)</f>
        <v>25000</v>
      </c>
      <c r="E8" s="1" t="str">
        <f>VLOOKUP(B8,Bantu,4,0)</f>
        <v>Liter</v>
      </c>
    </row>
    <row r="9" spans="2:5" x14ac:dyDescent="0.25">
      <c r="B9" s="1" t="s">
        <v>34</v>
      </c>
      <c r="C9" s="1" t="str">
        <f>VLOOKUP(B9,Bantu,2,0)</f>
        <v>Susu</v>
      </c>
      <c r="D9" s="1">
        <f>VLOOKUP(B9,Bantu,3,0)</f>
        <v>15000</v>
      </c>
      <c r="E9" s="1" t="str">
        <f>VLOOKUP(B9,Bantu,4,0)</f>
        <v>Kaleng</v>
      </c>
    </row>
    <row r="10" spans="2:5" x14ac:dyDescent="0.25">
      <c r="B10" s="1" t="s">
        <v>5</v>
      </c>
      <c r="C10" s="1" t="str">
        <f>VLOOKUP(B10,Bantu,2,0)</f>
        <v>Minyak Goreng</v>
      </c>
      <c r="D10" s="1">
        <f>VLOOKUP(B10,Bantu,3,0)</f>
        <v>25000</v>
      </c>
      <c r="E10" s="1" t="str">
        <f>VLOOKUP(B10,Bantu,4,0)</f>
        <v>Liter</v>
      </c>
    </row>
    <row r="11" spans="2:5" x14ac:dyDescent="0.25">
      <c r="B11" s="1" t="s">
        <v>4</v>
      </c>
      <c r="C11" s="1" t="str">
        <f>VLOOKUP(B11,Bantu,2,0)</f>
        <v>Sabun</v>
      </c>
      <c r="D11" s="1">
        <f>VLOOKUP(B11,Bantu,3,0)</f>
        <v>4000</v>
      </c>
      <c r="E11" s="1" t="str">
        <f>VLOOKUP(B11,Bantu,4,0)</f>
        <v>Buah</v>
      </c>
    </row>
    <row r="12" spans="2:5" x14ac:dyDescent="0.25">
      <c r="B12" s="1" t="s">
        <v>34</v>
      </c>
      <c r="C12" s="1" t="str">
        <f>VLOOKUP(B12,Bantu,2,0)</f>
        <v>Susu</v>
      </c>
      <c r="D12" s="1">
        <f>VLOOKUP(B12,Bantu,3,0)</f>
        <v>15000</v>
      </c>
      <c r="E12" s="1" t="str">
        <f>VLOOKUP(B12,Bantu,4,0)</f>
        <v>Kaleng</v>
      </c>
    </row>
    <row r="13" spans="2:5" x14ac:dyDescent="0.25">
      <c r="B13" s="1" t="s">
        <v>33</v>
      </c>
      <c r="C13" s="1" t="str">
        <f>VLOOKUP(B13,Bantu,2,0)</f>
        <v>Gula Pasir</v>
      </c>
      <c r="D13" s="1">
        <f>VLOOKUP(B13,Bantu,3,0)</f>
        <v>15000</v>
      </c>
      <c r="E13" s="1" t="str">
        <f>VLOOKUP(B13,Bantu,4,0)</f>
        <v>Kilogram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0235-1DAD-4EF8-88CE-5F8E66117C7A}">
  <dimension ref="B2:E7"/>
  <sheetViews>
    <sheetView workbookViewId="0">
      <selection activeCell="B3" sqref="B3:E7"/>
    </sheetView>
  </sheetViews>
  <sheetFormatPr defaultRowHeight="15" x14ac:dyDescent="0.25"/>
  <cols>
    <col min="3" max="3" width="14.42578125" bestFit="1" customWidth="1"/>
  </cols>
  <sheetData>
    <row r="2" spans="2:5" x14ac:dyDescent="0.25">
      <c r="B2" s="40" t="s">
        <v>35</v>
      </c>
    </row>
    <row r="3" spans="2:5" x14ac:dyDescent="0.25">
      <c r="B3" s="41" t="s">
        <v>29</v>
      </c>
      <c r="C3" s="41" t="s">
        <v>30</v>
      </c>
      <c r="D3" s="41" t="s">
        <v>31</v>
      </c>
      <c r="E3" s="41" t="s">
        <v>32</v>
      </c>
    </row>
    <row r="4" spans="2:5" x14ac:dyDescent="0.25">
      <c r="B4" s="1" t="s">
        <v>4</v>
      </c>
      <c r="C4" s="1" t="s">
        <v>36</v>
      </c>
      <c r="D4" s="37">
        <v>4000</v>
      </c>
      <c r="E4" s="1" t="s">
        <v>40</v>
      </c>
    </row>
    <row r="5" spans="2:5" x14ac:dyDescent="0.25">
      <c r="B5" s="1" t="s">
        <v>5</v>
      </c>
      <c r="C5" s="1" t="s">
        <v>37</v>
      </c>
      <c r="D5" s="37">
        <v>25000</v>
      </c>
      <c r="E5" s="1" t="s">
        <v>41</v>
      </c>
    </row>
    <row r="6" spans="2:5" x14ac:dyDescent="0.25">
      <c r="B6" s="1" t="s">
        <v>34</v>
      </c>
      <c r="C6" s="1" t="s">
        <v>38</v>
      </c>
      <c r="D6" s="37">
        <v>15000</v>
      </c>
      <c r="E6" s="1" t="s">
        <v>42</v>
      </c>
    </row>
    <row r="7" spans="2:5" x14ac:dyDescent="0.25">
      <c r="B7" s="1" t="s">
        <v>33</v>
      </c>
      <c r="C7" s="1" t="s">
        <v>39</v>
      </c>
      <c r="D7" s="37">
        <v>15000</v>
      </c>
      <c r="E7" s="1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CD25-1621-4FE6-8800-89A1724C3FCC}">
  <dimension ref="B2:L14"/>
  <sheetViews>
    <sheetView workbookViewId="0">
      <selection activeCell="B4" sqref="B4:B14"/>
    </sheetView>
  </sheetViews>
  <sheetFormatPr defaultRowHeight="15" x14ac:dyDescent="0.25"/>
  <cols>
    <col min="3" max="3" width="16.28515625" customWidth="1"/>
    <col min="5" max="5" width="12.42578125" customWidth="1"/>
    <col min="8" max="8" width="17.28515625" customWidth="1"/>
    <col min="9" max="9" width="9.85546875" bestFit="1" customWidth="1"/>
    <col min="10" max="10" width="16.42578125" bestFit="1" customWidth="1"/>
    <col min="11" max="12" width="11.140625" bestFit="1" customWidth="1"/>
  </cols>
  <sheetData>
    <row r="2" spans="2:12" ht="30" x14ac:dyDescent="0.4">
      <c r="B2" s="46" t="s">
        <v>44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4" spans="2:12" ht="15.75" x14ac:dyDescent="0.25">
      <c r="B4" s="47" t="s">
        <v>29</v>
      </c>
      <c r="C4" s="47" t="s">
        <v>30</v>
      </c>
      <c r="D4" s="47" t="s">
        <v>31</v>
      </c>
      <c r="E4" s="47" t="s">
        <v>32</v>
      </c>
      <c r="H4" s="42" t="s">
        <v>35</v>
      </c>
      <c r="I4" s="43"/>
      <c r="J4" s="43"/>
      <c r="K4" s="43"/>
      <c r="L4" s="43"/>
    </row>
    <row r="5" spans="2:12" ht="15.75" x14ac:dyDescent="0.25">
      <c r="B5" s="44" t="s">
        <v>33</v>
      </c>
      <c r="C5" s="44" t="str">
        <f>HLOOKUP(B5,$H$5:$L$8,2,0)</f>
        <v>Gula Pasir</v>
      </c>
      <c r="D5" s="44">
        <f>HLOOKUP(B5,$H$5:$L$8,3,0)</f>
        <v>12000</v>
      </c>
      <c r="E5" s="44" t="str">
        <f>HLOOKUP(B5,$H$5:$L$8,4,0)</f>
        <v>Kilogram</v>
      </c>
      <c r="H5" s="47" t="s">
        <v>29</v>
      </c>
      <c r="I5" s="44" t="s">
        <v>4</v>
      </c>
      <c r="J5" s="44" t="s">
        <v>5</v>
      </c>
      <c r="K5" s="44" t="s">
        <v>34</v>
      </c>
      <c r="L5" s="44" t="s">
        <v>33</v>
      </c>
    </row>
    <row r="6" spans="2:12" ht="15.75" x14ac:dyDescent="0.25">
      <c r="B6" s="44" t="s">
        <v>5</v>
      </c>
      <c r="C6" s="44" t="str">
        <f t="shared" ref="C6:C14" si="0">HLOOKUP(B6,$H$5:$L$8,2,0)</f>
        <v>Minyak Goreng</v>
      </c>
      <c r="D6" s="44">
        <f t="shared" ref="D6:D14" si="1">HLOOKUP(B6,$H$5:$L$8,3,0)</f>
        <v>24000</v>
      </c>
      <c r="E6" s="44" t="str">
        <f t="shared" ref="E6:E14" si="2">HLOOKUP(B6,$H$5:$L$8,4,0)</f>
        <v>Liter</v>
      </c>
      <c r="H6" s="47" t="s">
        <v>30</v>
      </c>
      <c r="I6" s="44" t="s">
        <v>36</v>
      </c>
      <c r="J6" s="44" t="s">
        <v>37</v>
      </c>
      <c r="K6" s="44" t="s">
        <v>38</v>
      </c>
      <c r="L6" s="44" t="s">
        <v>39</v>
      </c>
    </row>
    <row r="7" spans="2:12" ht="15.75" x14ac:dyDescent="0.25">
      <c r="B7" s="44" t="s">
        <v>33</v>
      </c>
      <c r="C7" s="44" t="str">
        <f t="shared" si="0"/>
        <v>Gula Pasir</v>
      </c>
      <c r="D7" s="44">
        <f t="shared" si="1"/>
        <v>12000</v>
      </c>
      <c r="E7" s="44" t="str">
        <f t="shared" si="2"/>
        <v>Kilogram</v>
      </c>
      <c r="H7" s="47" t="s">
        <v>31</v>
      </c>
      <c r="I7" s="45">
        <v>2500</v>
      </c>
      <c r="J7" s="45">
        <v>24000</v>
      </c>
      <c r="K7" s="45">
        <v>10000</v>
      </c>
      <c r="L7" s="45">
        <v>12000</v>
      </c>
    </row>
    <row r="8" spans="2:12" ht="15.75" x14ac:dyDescent="0.25">
      <c r="B8" s="44" t="s">
        <v>33</v>
      </c>
      <c r="C8" s="44" t="str">
        <f t="shared" si="0"/>
        <v>Gula Pasir</v>
      </c>
      <c r="D8" s="44">
        <f t="shared" si="1"/>
        <v>12000</v>
      </c>
      <c r="E8" s="44" t="str">
        <f t="shared" si="2"/>
        <v>Kilogram</v>
      </c>
      <c r="H8" s="47" t="s">
        <v>32</v>
      </c>
      <c r="I8" s="44" t="s">
        <v>40</v>
      </c>
      <c r="J8" s="44" t="s">
        <v>41</v>
      </c>
      <c r="K8" s="44" t="s">
        <v>42</v>
      </c>
      <c r="L8" s="44" t="s">
        <v>43</v>
      </c>
    </row>
    <row r="9" spans="2:12" x14ac:dyDescent="0.25">
      <c r="B9" s="44" t="s">
        <v>5</v>
      </c>
      <c r="C9" s="44" t="str">
        <f t="shared" si="0"/>
        <v>Minyak Goreng</v>
      </c>
      <c r="D9" s="44">
        <f t="shared" si="1"/>
        <v>24000</v>
      </c>
      <c r="E9" s="44" t="str">
        <f t="shared" si="2"/>
        <v>Liter</v>
      </c>
    </row>
    <row r="10" spans="2:12" x14ac:dyDescent="0.25">
      <c r="B10" s="44" t="s">
        <v>34</v>
      </c>
      <c r="C10" s="44" t="str">
        <f t="shared" si="0"/>
        <v>Susu</v>
      </c>
      <c r="D10" s="44">
        <f t="shared" si="1"/>
        <v>10000</v>
      </c>
      <c r="E10" s="44" t="str">
        <f t="shared" si="2"/>
        <v>Kaleng</v>
      </c>
    </row>
    <row r="11" spans="2:12" x14ac:dyDescent="0.25">
      <c r="B11" s="44" t="s">
        <v>4</v>
      </c>
      <c r="C11" s="44" t="str">
        <f t="shared" si="0"/>
        <v>Sabun</v>
      </c>
      <c r="D11" s="44">
        <f t="shared" si="1"/>
        <v>2500</v>
      </c>
      <c r="E11" s="44" t="str">
        <f t="shared" si="2"/>
        <v>Buah</v>
      </c>
    </row>
    <row r="12" spans="2:12" x14ac:dyDescent="0.25">
      <c r="B12" s="44" t="s">
        <v>4</v>
      </c>
      <c r="C12" s="44" t="str">
        <f t="shared" si="0"/>
        <v>Sabun</v>
      </c>
      <c r="D12" s="44">
        <f t="shared" si="1"/>
        <v>2500</v>
      </c>
      <c r="E12" s="44" t="str">
        <f t="shared" si="2"/>
        <v>Buah</v>
      </c>
    </row>
    <row r="13" spans="2:12" x14ac:dyDescent="0.25">
      <c r="B13" s="44" t="s">
        <v>34</v>
      </c>
      <c r="C13" s="44" t="str">
        <f t="shared" si="0"/>
        <v>Susu</v>
      </c>
      <c r="D13" s="44">
        <f t="shared" si="1"/>
        <v>10000</v>
      </c>
      <c r="E13" s="44" t="str">
        <f t="shared" si="2"/>
        <v>Kaleng</v>
      </c>
    </row>
    <row r="14" spans="2:12" x14ac:dyDescent="0.25">
      <c r="B14" s="44" t="s">
        <v>4</v>
      </c>
      <c r="C14" s="44" t="str">
        <f t="shared" si="0"/>
        <v>Sabun</v>
      </c>
      <c r="D14" s="44">
        <f t="shared" si="1"/>
        <v>2500</v>
      </c>
      <c r="E14" s="44" t="str">
        <f t="shared" si="2"/>
        <v>Buah</v>
      </c>
    </row>
  </sheetData>
  <mergeCells count="1">
    <mergeCell ref="B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C301-3128-4393-8203-B76E27AA7F79}">
  <dimension ref="B2:E12"/>
  <sheetViews>
    <sheetView workbookViewId="0">
      <selection activeCell="E3" sqref="E3:E12"/>
    </sheetView>
  </sheetViews>
  <sheetFormatPr defaultRowHeight="15" x14ac:dyDescent="0.25"/>
  <cols>
    <col min="3" max="3" width="15.28515625" bestFit="1" customWidth="1"/>
  </cols>
  <sheetData>
    <row r="2" spans="2:5" ht="15.75" x14ac:dyDescent="0.25">
      <c r="B2" s="48" t="s">
        <v>29</v>
      </c>
      <c r="C2" s="48" t="s">
        <v>30</v>
      </c>
      <c r="D2" s="48" t="s">
        <v>31</v>
      </c>
      <c r="E2" s="48" t="s">
        <v>32</v>
      </c>
    </row>
    <row r="3" spans="2:5" ht="15.75" x14ac:dyDescent="0.25">
      <c r="B3" s="49" t="s">
        <v>33</v>
      </c>
      <c r="C3" s="49" t="str">
        <f>HLOOKUP(B3,Kode,2,0)</f>
        <v>Gula Pasir</v>
      </c>
      <c r="D3" s="49">
        <f>HLOOKUP(B3,Kode,3,0)</f>
        <v>12000</v>
      </c>
      <c r="E3" s="49" t="str">
        <f>HLOOKUP(B3,Kode,4,0)</f>
        <v>Kilogram</v>
      </c>
    </row>
    <row r="4" spans="2:5" ht="15.75" x14ac:dyDescent="0.25">
      <c r="B4" s="49" t="s">
        <v>5</v>
      </c>
      <c r="C4" s="49" t="str">
        <f>HLOOKUP(B4,Kode,2,0)</f>
        <v>Minyak Goreng</v>
      </c>
      <c r="D4" s="49">
        <f>HLOOKUP(B4,Kode,3,0)</f>
        <v>24000</v>
      </c>
      <c r="E4" s="49" t="str">
        <f>HLOOKUP(B4,Kode,4,0)</f>
        <v>Liter</v>
      </c>
    </row>
    <row r="5" spans="2:5" ht="15.75" x14ac:dyDescent="0.25">
      <c r="B5" s="49" t="s">
        <v>33</v>
      </c>
      <c r="C5" s="49" t="str">
        <f>HLOOKUP(B5,Kode,2,0)</f>
        <v>Gula Pasir</v>
      </c>
      <c r="D5" s="49">
        <f>HLOOKUP(B5,Kode,3,0)</f>
        <v>12000</v>
      </c>
      <c r="E5" s="49" t="str">
        <f>HLOOKUP(B5,Kode,4,0)</f>
        <v>Kilogram</v>
      </c>
    </row>
    <row r="6" spans="2:5" ht="15.75" x14ac:dyDescent="0.25">
      <c r="B6" s="49" t="s">
        <v>33</v>
      </c>
      <c r="C6" s="49" t="str">
        <f>HLOOKUP(B6,Kode,2,0)</f>
        <v>Gula Pasir</v>
      </c>
      <c r="D6" s="49">
        <f>HLOOKUP(B6,Kode,3,0)</f>
        <v>12000</v>
      </c>
      <c r="E6" s="49" t="str">
        <f>HLOOKUP(B6,Kode,4,0)</f>
        <v>Kilogram</v>
      </c>
    </row>
    <row r="7" spans="2:5" ht="15.75" x14ac:dyDescent="0.25">
      <c r="B7" s="49" t="s">
        <v>5</v>
      </c>
      <c r="C7" s="49" t="str">
        <f>HLOOKUP(B7,Kode,2,0)</f>
        <v>Minyak Goreng</v>
      </c>
      <c r="D7" s="49">
        <f>HLOOKUP(B7,Kode,3,0)</f>
        <v>24000</v>
      </c>
      <c r="E7" s="49" t="str">
        <f>HLOOKUP(B7,Kode,4,0)</f>
        <v>Liter</v>
      </c>
    </row>
    <row r="8" spans="2:5" ht="15.75" x14ac:dyDescent="0.25">
      <c r="B8" s="49" t="s">
        <v>34</v>
      </c>
      <c r="C8" s="49" t="str">
        <f>HLOOKUP(B8,Kode,2,0)</f>
        <v>Susu</v>
      </c>
      <c r="D8" s="49">
        <f>HLOOKUP(B8,Kode,3,0)</f>
        <v>10000</v>
      </c>
      <c r="E8" s="49" t="str">
        <f>HLOOKUP(B8,Kode,4,0)</f>
        <v>Kaleng</v>
      </c>
    </row>
    <row r="9" spans="2:5" ht="15.75" x14ac:dyDescent="0.25">
      <c r="B9" s="49" t="s">
        <v>4</v>
      </c>
      <c r="C9" s="49" t="str">
        <f>HLOOKUP(B9,Kode,2,0)</f>
        <v>Sabun</v>
      </c>
      <c r="D9" s="49">
        <f>HLOOKUP(B9,Kode,3,0)</f>
        <v>2500</v>
      </c>
      <c r="E9" s="49" t="str">
        <f>HLOOKUP(B9,Kode,4,0)</f>
        <v>Buah</v>
      </c>
    </row>
    <row r="10" spans="2:5" ht="15.75" x14ac:dyDescent="0.25">
      <c r="B10" s="49" t="s">
        <v>4</v>
      </c>
      <c r="C10" s="49" t="str">
        <f>HLOOKUP(B10,Kode,2,0)</f>
        <v>Sabun</v>
      </c>
      <c r="D10" s="49">
        <f>HLOOKUP(B10,Kode,3,0)</f>
        <v>2500</v>
      </c>
      <c r="E10" s="49" t="str">
        <f>HLOOKUP(B10,Kode,4,0)</f>
        <v>Buah</v>
      </c>
    </row>
    <row r="11" spans="2:5" ht="15.75" x14ac:dyDescent="0.25">
      <c r="B11" s="49" t="s">
        <v>34</v>
      </c>
      <c r="C11" s="49" t="str">
        <f>HLOOKUP(B11,Kode,2,0)</f>
        <v>Susu</v>
      </c>
      <c r="D11" s="49">
        <f>HLOOKUP(B11,Kode,3,0)</f>
        <v>10000</v>
      </c>
      <c r="E11" s="49" t="str">
        <f>HLOOKUP(B11,Kode,4,0)</f>
        <v>Kaleng</v>
      </c>
    </row>
    <row r="12" spans="2:5" ht="15.75" x14ac:dyDescent="0.25">
      <c r="B12" s="49" t="s">
        <v>4</v>
      </c>
      <c r="C12" s="49" t="str">
        <f>HLOOKUP(B12,Kode,2,0)</f>
        <v>Sabun</v>
      </c>
      <c r="D12" s="49">
        <f>HLOOKUP(B12,Kode,3,0)</f>
        <v>2500</v>
      </c>
      <c r="E12" s="49" t="str">
        <f>HLOOKUP(B12,Kode,4,0)</f>
        <v>Buah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E4F9-0048-44D9-A23E-C80AF5B2C9D8}">
  <dimension ref="B2:F6"/>
  <sheetViews>
    <sheetView workbookViewId="0">
      <selection activeCell="B3" sqref="B3:F6"/>
    </sheetView>
  </sheetViews>
  <sheetFormatPr defaultRowHeight="15" x14ac:dyDescent="0.25"/>
  <cols>
    <col min="2" max="2" width="16.28515625" bestFit="1" customWidth="1"/>
    <col min="3" max="3" width="13" customWidth="1"/>
    <col min="4" max="4" width="16.42578125" bestFit="1" customWidth="1"/>
    <col min="5" max="5" width="11.140625" bestFit="1" customWidth="1"/>
    <col min="6" max="6" width="11.7109375" bestFit="1" customWidth="1"/>
  </cols>
  <sheetData>
    <row r="2" spans="2:6" x14ac:dyDescent="0.25">
      <c r="B2" s="42" t="s">
        <v>35</v>
      </c>
      <c r="C2" s="43"/>
      <c r="D2" s="43"/>
      <c r="E2" s="43"/>
      <c r="F2" s="43"/>
    </row>
    <row r="3" spans="2:6" ht="15.75" x14ac:dyDescent="0.25">
      <c r="B3" s="47" t="s">
        <v>29</v>
      </c>
      <c r="C3" s="44" t="s">
        <v>4</v>
      </c>
      <c r="D3" s="44" t="s">
        <v>5</v>
      </c>
      <c r="E3" s="44" t="s">
        <v>34</v>
      </c>
      <c r="F3" s="44" t="s">
        <v>33</v>
      </c>
    </row>
    <row r="4" spans="2:6" ht="15.75" x14ac:dyDescent="0.25">
      <c r="B4" s="47" t="s">
        <v>30</v>
      </c>
      <c r="C4" s="44" t="s">
        <v>36</v>
      </c>
      <c r="D4" s="44" t="s">
        <v>37</v>
      </c>
      <c r="E4" s="44" t="s">
        <v>38</v>
      </c>
      <c r="F4" s="44" t="s">
        <v>39</v>
      </c>
    </row>
    <row r="5" spans="2:6" ht="15.75" x14ac:dyDescent="0.25">
      <c r="B5" s="47" t="s">
        <v>31</v>
      </c>
      <c r="C5" s="45">
        <v>2500</v>
      </c>
      <c r="D5" s="45">
        <v>24000</v>
      </c>
      <c r="E5" s="45">
        <v>10000</v>
      </c>
      <c r="F5" s="45">
        <v>12000</v>
      </c>
    </row>
    <row r="6" spans="2:6" ht="15.75" x14ac:dyDescent="0.25">
      <c r="B6" s="47" t="s">
        <v>32</v>
      </c>
      <c r="C6" s="44" t="s">
        <v>40</v>
      </c>
      <c r="D6" s="44" t="s">
        <v>41</v>
      </c>
      <c r="E6" s="44" t="s">
        <v>42</v>
      </c>
      <c r="F6" s="44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CB1A-C0F6-4A2C-B158-2091994A31CB}">
  <dimension ref="A1:N15"/>
  <sheetViews>
    <sheetView workbookViewId="0">
      <selection activeCell="A3" sqref="A3:D13"/>
    </sheetView>
  </sheetViews>
  <sheetFormatPr defaultRowHeight="15" x14ac:dyDescent="0.25"/>
  <cols>
    <col min="2" max="2" width="15.85546875" bestFit="1" customWidth="1"/>
    <col min="4" max="4" width="14.85546875" customWidth="1"/>
    <col min="5" max="5" width="14.140625" customWidth="1"/>
    <col min="10" max="10" width="15.85546875" bestFit="1" customWidth="1"/>
    <col min="11" max="11" width="15.5703125" customWidth="1"/>
    <col min="12" max="12" width="17" bestFit="1" customWidth="1"/>
    <col min="14" max="14" width="26.28515625" customWidth="1"/>
  </cols>
  <sheetData>
    <row r="1" spans="1:14" ht="27.75" x14ac:dyDescent="0.4">
      <c r="A1" s="51" t="s">
        <v>45</v>
      </c>
      <c r="B1" s="51"/>
      <c r="C1" s="51"/>
      <c r="D1" s="51"/>
      <c r="I1" s="51" t="s">
        <v>49</v>
      </c>
      <c r="J1" s="51"/>
      <c r="K1" s="51"/>
      <c r="L1" s="51"/>
    </row>
    <row r="3" spans="1:14" ht="45" x14ac:dyDescent="0.25">
      <c r="A3" s="52" t="s">
        <v>1</v>
      </c>
      <c r="B3" s="52" t="s">
        <v>46</v>
      </c>
      <c r="C3" s="52" t="s">
        <v>47</v>
      </c>
      <c r="D3" s="52" t="s">
        <v>48</v>
      </c>
      <c r="I3" s="52" t="s">
        <v>1</v>
      </c>
      <c r="J3" s="52" t="s">
        <v>46</v>
      </c>
      <c r="K3" s="53" t="s">
        <v>50</v>
      </c>
      <c r="L3" s="52" t="s">
        <v>51</v>
      </c>
    </row>
    <row r="4" spans="1:14" x14ac:dyDescent="0.25">
      <c r="A4" s="44">
        <v>1</v>
      </c>
      <c r="B4" s="50" t="s">
        <v>13</v>
      </c>
      <c r="C4" s="44">
        <v>78</v>
      </c>
      <c r="D4" s="44" t="str">
        <f>IF(C4&gt;70,"LULUS","TIDAK LULUS")</f>
        <v>LULUS</v>
      </c>
      <c r="I4" s="44">
        <v>1</v>
      </c>
      <c r="J4" s="50" t="s">
        <v>13</v>
      </c>
      <c r="K4" s="44" t="s">
        <v>52</v>
      </c>
      <c r="L4" s="44" t="str">
        <f>IF(K4="P","Perempuan","Laki-Laki")</f>
        <v>Perempuan</v>
      </c>
    </row>
    <row r="5" spans="1:14" x14ac:dyDescent="0.25">
      <c r="A5" s="44">
        <v>2</v>
      </c>
      <c r="B5" s="50" t="s">
        <v>14</v>
      </c>
      <c r="C5" s="44">
        <v>83</v>
      </c>
      <c r="D5" s="44" t="str">
        <f t="shared" ref="D5:D13" si="0">IF(C5&gt;70,"LULUS","TIDAK LULUS")</f>
        <v>LULUS</v>
      </c>
      <c r="I5" s="44">
        <v>2</v>
      </c>
      <c r="J5" s="50" t="s">
        <v>14</v>
      </c>
      <c r="K5" s="44" t="s">
        <v>52</v>
      </c>
      <c r="L5" s="44" t="str">
        <f t="shared" ref="L5:L13" si="1">IF(K5="P","Perempuan","Laki-Laki")</f>
        <v>Perempuan</v>
      </c>
    </row>
    <row r="6" spans="1:14" x14ac:dyDescent="0.25">
      <c r="A6" s="44">
        <v>3</v>
      </c>
      <c r="B6" s="50" t="s">
        <v>15</v>
      </c>
      <c r="C6" s="44">
        <v>89</v>
      </c>
      <c r="D6" s="44" t="str">
        <f t="shared" si="0"/>
        <v>LULUS</v>
      </c>
      <c r="I6" s="44">
        <v>3</v>
      </c>
      <c r="J6" s="50" t="s">
        <v>15</v>
      </c>
      <c r="K6" s="44" t="s">
        <v>53</v>
      </c>
      <c r="L6" s="44" t="str">
        <f t="shared" si="1"/>
        <v>Laki-Laki</v>
      </c>
    </row>
    <row r="7" spans="1:14" x14ac:dyDescent="0.25">
      <c r="A7" s="44">
        <v>4</v>
      </c>
      <c r="B7" s="50" t="s">
        <v>16</v>
      </c>
      <c r="C7" s="44">
        <v>90</v>
      </c>
      <c r="D7" s="44" t="str">
        <f t="shared" si="0"/>
        <v>LULUS</v>
      </c>
      <c r="I7" s="44">
        <v>4</v>
      </c>
      <c r="J7" s="50" t="s">
        <v>16</v>
      </c>
      <c r="K7" s="44" t="s">
        <v>52</v>
      </c>
      <c r="L7" s="44" t="str">
        <f t="shared" si="1"/>
        <v>Perempuan</v>
      </c>
    </row>
    <row r="8" spans="1:14" x14ac:dyDescent="0.25">
      <c r="A8" s="44">
        <v>5</v>
      </c>
      <c r="B8" s="50" t="s">
        <v>17</v>
      </c>
      <c r="C8" s="44">
        <v>92</v>
      </c>
      <c r="D8" s="44" t="str">
        <f t="shared" si="0"/>
        <v>LULUS</v>
      </c>
      <c r="I8" s="44">
        <v>5</v>
      </c>
      <c r="J8" s="50" t="s">
        <v>17</v>
      </c>
      <c r="K8" s="44" t="s">
        <v>53</v>
      </c>
      <c r="L8" s="44" t="str">
        <f t="shared" si="1"/>
        <v>Laki-Laki</v>
      </c>
    </row>
    <row r="9" spans="1:14" x14ac:dyDescent="0.25">
      <c r="A9" s="44">
        <v>6</v>
      </c>
      <c r="B9" s="50" t="s">
        <v>18</v>
      </c>
      <c r="C9" s="44">
        <v>98</v>
      </c>
      <c r="D9" s="44" t="str">
        <f t="shared" si="0"/>
        <v>LULUS</v>
      </c>
      <c r="I9" s="44">
        <v>6</v>
      </c>
      <c r="J9" s="50" t="s">
        <v>18</v>
      </c>
      <c r="K9" s="44" t="s">
        <v>53</v>
      </c>
      <c r="L9" s="44" t="str">
        <f t="shared" si="1"/>
        <v>Laki-Laki</v>
      </c>
    </row>
    <row r="10" spans="1:14" x14ac:dyDescent="0.25">
      <c r="A10" s="44">
        <v>7</v>
      </c>
      <c r="B10" s="50" t="s">
        <v>19</v>
      </c>
      <c r="C10" s="44">
        <v>76</v>
      </c>
      <c r="D10" s="44" t="str">
        <f t="shared" si="0"/>
        <v>LULUS</v>
      </c>
      <c r="I10" s="44">
        <v>7</v>
      </c>
      <c r="J10" s="50" t="s">
        <v>19</v>
      </c>
      <c r="K10" s="44" t="s">
        <v>53</v>
      </c>
      <c r="L10" s="44" t="str">
        <f t="shared" si="1"/>
        <v>Laki-Laki</v>
      </c>
    </row>
    <row r="11" spans="1:14" x14ac:dyDescent="0.25">
      <c r="A11" s="44">
        <v>8</v>
      </c>
      <c r="B11" s="50" t="s">
        <v>20</v>
      </c>
      <c r="C11" s="44">
        <v>67</v>
      </c>
      <c r="D11" s="44" t="str">
        <f t="shared" si="0"/>
        <v>TIDAK LULUS</v>
      </c>
      <c r="I11" s="44">
        <v>8</v>
      </c>
      <c r="J11" s="50" t="s">
        <v>20</v>
      </c>
      <c r="K11" s="44" t="s">
        <v>53</v>
      </c>
      <c r="L11" s="44" t="str">
        <f t="shared" si="1"/>
        <v>Laki-Laki</v>
      </c>
    </row>
    <row r="12" spans="1:14" x14ac:dyDescent="0.25">
      <c r="A12" s="44">
        <v>9</v>
      </c>
      <c r="B12" s="50" t="s">
        <v>21</v>
      </c>
      <c r="C12" s="44">
        <v>77</v>
      </c>
      <c r="D12" s="44" t="str">
        <f t="shared" si="0"/>
        <v>LULUS</v>
      </c>
      <c r="I12" s="44">
        <v>9</v>
      </c>
      <c r="J12" s="50" t="s">
        <v>21</v>
      </c>
      <c r="K12" s="44" t="s">
        <v>52</v>
      </c>
      <c r="L12" s="44" t="str">
        <f t="shared" si="1"/>
        <v>Perempuan</v>
      </c>
    </row>
    <row r="13" spans="1:14" x14ac:dyDescent="0.25">
      <c r="A13" s="44">
        <v>10</v>
      </c>
      <c r="B13" s="50" t="s">
        <v>22</v>
      </c>
      <c r="C13" s="44">
        <v>65</v>
      </c>
      <c r="D13" s="44" t="str">
        <f t="shared" si="0"/>
        <v>TIDAK LULUS</v>
      </c>
      <c r="I13" s="44">
        <v>10</v>
      </c>
      <c r="J13" s="50" t="s">
        <v>22</v>
      </c>
      <c r="K13" s="44" t="s">
        <v>52</v>
      </c>
      <c r="L13" s="44" t="str">
        <f t="shared" si="1"/>
        <v>Perempuan</v>
      </c>
    </row>
    <row r="15" spans="1:14" ht="15.75" customHeight="1" x14ac:dyDescent="0.25">
      <c r="A15" s="54" t="s">
        <v>54</v>
      </c>
      <c r="B15" s="54"/>
      <c r="C15" s="54"/>
      <c r="D15" s="54"/>
      <c r="E15" s="54"/>
      <c r="I15" s="54" t="s">
        <v>55</v>
      </c>
      <c r="J15" s="54"/>
      <c r="K15" s="54"/>
      <c r="L15" s="54"/>
      <c r="M15" s="54"/>
      <c r="N15" s="54"/>
    </row>
  </sheetData>
  <mergeCells count="4">
    <mergeCell ref="A1:D1"/>
    <mergeCell ref="I1:L1"/>
    <mergeCell ref="A15:E15"/>
    <mergeCell ref="I15:N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0B7F-882C-4553-A24F-F0D066EF8872}">
  <dimension ref="A1:I13"/>
  <sheetViews>
    <sheetView tabSelected="1" workbookViewId="0">
      <selection activeCell="A3" sqref="A3:D13"/>
    </sheetView>
  </sheetViews>
  <sheetFormatPr defaultRowHeight="15" x14ac:dyDescent="0.25"/>
  <cols>
    <col min="2" max="2" width="15.85546875" bestFit="1" customWidth="1"/>
    <col min="4" max="4" width="12.5703125" bestFit="1" customWidth="1"/>
    <col min="9" max="9" width="16.85546875" customWidth="1"/>
  </cols>
  <sheetData>
    <row r="1" spans="1:9" ht="23.25" x14ac:dyDescent="0.35">
      <c r="A1" s="55" t="s">
        <v>57</v>
      </c>
      <c r="B1" s="55"/>
      <c r="C1" s="55"/>
      <c r="D1" s="55"/>
    </row>
    <row r="3" spans="1:9" ht="15.75" x14ac:dyDescent="0.25">
      <c r="A3" s="52" t="s">
        <v>1</v>
      </c>
      <c r="B3" s="52" t="s">
        <v>46</v>
      </c>
      <c r="C3" s="52" t="s">
        <v>47</v>
      </c>
      <c r="D3" s="52" t="s">
        <v>56</v>
      </c>
      <c r="F3" s="57"/>
      <c r="G3" s="56" t="s">
        <v>58</v>
      </c>
      <c r="H3" s="57"/>
      <c r="I3" s="57"/>
    </row>
    <row r="4" spans="1:9" ht="15.75" x14ac:dyDescent="0.25">
      <c r="A4" s="44">
        <v>1</v>
      </c>
      <c r="B4" s="50" t="s">
        <v>13</v>
      </c>
      <c r="C4" s="44">
        <v>68</v>
      </c>
      <c r="D4" s="44" t="str">
        <f>IF(C4&gt;=90,"A",IF(C4&gt;=80,"B",IF(C4&gt;=60,"C",IF(C4&gt;=40,"D","E"))))</f>
        <v>C</v>
      </c>
      <c r="F4" s="57"/>
      <c r="G4" s="57" t="s">
        <v>59</v>
      </c>
      <c r="H4" s="57"/>
      <c r="I4" s="57"/>
    </row>
    <row r="5" spans="1:9" ht="15.75" x14ac:dyDescent="0.25">
      <c r="A5" s="44">
        <v>2</v>
      </c>
      <c r="B5" s="50" t="s">
        <v>14</v>
      </c>
      <c r="C5" s="44">
        <v>83</v>
      </c>
      <c r="D5" s="44" t="str">
        <f t="shared" ref="D5:D13" si="0">IF(C5&gt;=90,"A",IF(C5&gt;=80,"B",IF(C5&gt;=60,"C",IF(C5&gt;=40,"D","E"))))</f>
        <v>B</v>
      </c>
      <c r="F5" s="57"/>
      <c r="G5" s="57" t="s">
        <v>60</v>
      </c>
      <c r="H5" s="57"/>
      <c r="I5" s="57"/>
    </row>
    <row r="6" spans="1:9" ht="15.75" x14ac:dyDescent="0.25">
      <c r="A6" s="44">
        <v>3</v>
      </c>
      <c r="B6" s="50" t="s">
        <v>15</v>
      </c>
      <c r="C6" s="44">
        <v>70</v>
      </c>
      <c r="D6" s="44" t="str">
        <f t="shared" si="0"/>
        <v>C</v>
      </c>
      <c r="F6" s="57"/>
      <c r="G6" s="57" t="s">
        <v>61</v>
      </c>
      <c r="H6" s="57"/>
      <c r="I6" s="57"/>
    </row>
    <row r="7" spans="1:9" ht="15.75" x14ac:dyDescent="0.25">
      <c r="A7" s="44">
        <v>4</v>
      </c>
      <c r="B7" s="50" t="s">
        <v>16</v>
      </c>
      <c r="C7" s="44">
        <v>55</v>
      </c>
      <c r="D7" s="44" t="str">
        <f t="shared" si="0"/>
        <v>D</v>
      </c>
      <c r="F7" s="57"/>
      <c r="G7" s="57" t="s">
        <v>62</v>
      </c>
      <c r="H7" s="57"/>
      <c r="I7" s="57"/>
    </row>
    <row r="8" spans="1:9" ht="15.75" x14ac:dyDescent="0.25">
      <c r="A8" s="44">
        <v>5</v>
      </c>
      <c r="B8" s="50" t="s">
        <v>17</v>
      </c>
      <c r="C8" s="44">
        <v>92</v>
      </c>
      <c r="D8" s="44" t="str">
        <f t="shared" si="0"/>
        <v>A</v>
      </c>
      <c r="F8" s="57"/>
      <c r="G8" s="57" t="s">
        <v>63</v>
      </c>
      <c r="H8" s="57"/>
      <c r="I8" s="57"/>
    </row>
    <row r="9" spans="1:9" x14ac:dyDescent="0.25">
      <c r="A9" s="44">
        <v>6</v>
      </c>
      <c r="B9" s="50" t="s">
        <v>18</v>
      </c>
      <c r="C9" s="44">
        <v>61</v>
      </c>
      <c r="D9" s="44" t="str">
        <f t="shared" si="0"/>
        <v>C</v>
      </c>
    </row>
    <row r="10" spans="1:9" x14ac:dyDescent="0.25">
      <c r="A10" s="44">
        <v>7</v>
      </c>
      <c r="B10" s="50" t="s">
        <v>19</v>
      </c>
      <c r="C10" s="44">
        <v>40</v>
      </c>
      <c r="D10" s="44" t="str">
        <f t="shared" si="0"/>
        <v>D</v>
      </c>
    </row>
    <row r="11" spans="1:9" x14ac:dyDescent="0.25">
      <c r="A11" s="44">
        <v>8</v>
      </c>
      <c r="B11" s="50" t="s">
        <v>20</v>
      </c>
      <c r="C11" s="44">
        <v>90</v>
      </c>
      <c r="D11" s="44" t="str">
        <f t="shared" si="0"/>
        <v>A</v>
      </c>
    </row>
    <row r="12" spans="1:9" x14ac:dyDescent="0.25">
      <c r="A12" s="44">
        <v>9</v>
      </c>
      <c r="B12" s="50" t="s">
        <v>21</v>
      </c>
      <c r="C12" s="44">
        <v>77</v>
      </c>
      <c r="D12" s="44" t="str">
        <f t="shared" si="0"/>
        <v>C</v>
      </c>
    </row>
    <row r="13" spans="1:9" x14ac:dyDescent="0.25">
      <c r="A13" s="44">
        <v>10</v>
      </c>
      <c r="B13" s="50" t="s">
        <v>22</v>
      </c>
      <c r="C13" s="44">
        <v>35</v>
      </c>
      <c r="D13" s="44" t="str">
        <f t="shared" si="0"/>
        <v>E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ARITMATIKA</vt:lpstr>
      <vt:lpstr>VLOOKUP</vt:lpstr>
      <vt:lpstr>VLOOKUP BEDA SHEET</vt:lpstr>
      <vt:lpstr>TABEL BANTU</vt:lpstr>
      <vt:lpstr>HLOOKUP</vt:lpstr>
      <vt:lpstr>HLOOKUP BEDA SHEET</vt:lpstr>
      <vt:lpstr>TABEL BANTUHLO</vt:lpstr>
      <vt:lpstr>IF</vt:lpstr>
      <vt:lpstr>IFLevel</vt:lpstr>
      <vt:lpstr>Bantu</vt:lpstr>
      <vt:lpstr>Kode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</dc:creator>
  <cp:lastModifiedBy>ARA</cp:lastModifiedBy>
  <dcterms:created xsi:type="dcterms:W3CDTF">2026-04-07T02:44:23Z</dcterms:created>
  <dcterms:modified xsi:type="dcterms:W3CDTF">2026-04-07T04:59:33Z</dcterms:modified>
</cp:coreProperties>
</file>